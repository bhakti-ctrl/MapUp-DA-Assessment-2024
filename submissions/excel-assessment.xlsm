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ome\Downloads\"/>
    </mc:Choice>
  </mc:AlternateContent>
  <bookViews>
    <workbookView xWindow="0" yWindow="504" windowWidth="29400" windowHeight="16296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8" l="1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C23" i="20"/>
  <c r="C5" i="15"/>
  <c r="H41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<sst xmlns="http://schemas.openxmlformats.org/spreadsheetml/2006/main" count="323" uniqueCount="178">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</sst>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dd/mm/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7" t="s">
        <v>170</v>
      </c>
      <c r="B9" s="26" t="s">
        <v>168</v>
      </c>
    </row>
    <row r="10" spans="1:3" x14ac:dyDescent="0.3">
      <c r="A10" s="36" t="s">
        <v>171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169</v>
      </c>
      <c r="B15" s="25">
        <v>125</v>
      </c>
    </row>
  </sheetData>
  <phoneticPr fontId="10" type="noConversion"/>
  <conditionalFormatting sqref="A1">
    <cfRule type="cellIs" dxfId="10" priority="1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4"/>
  <sheetViews>
    <sheetView topLeftCell="A9" zoomScaleNormal="100" workbookViewId="0">
      <pane ySplit="1" topLeftCell="A10" activePane="bottomLeft" state="frozen"/>
      <selection activeCell="A9" sqref="A9"/>
      <selection pane="bottomLeft" activeCell="E44" sqref="E4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1" spans="1:24" x14ac:dyDescent="0.3">
      <c r="H41" s="1">
        <f ca="1">SUMIF(H:H, "&gt;20")</f>
        <v>0</v>
      </c>
    </row>
    <row r="44" spans="1:24" ht="28.8" x14ac:dyDescent="0.3">
      <c r="E44" s="47" t="s">
        <v>177</v>
      </c>
    </row>
  </sheetData>
  <conditionalFormatting sqref="A1:A1048576">
    <cfRule type="duplicateValues" dxfId="12" priority="12"/>
  </conditionalFormatting>
  <conditionalFormatting sqref="B1:B1048576">
    <cfRule type="duplicateValues" dxfId="11" priority="11"/>
  </conditionalFormatting>
  <conditionalFormatting sqref="A1">
    <cfRule type="cellIs" dxfId="8" priority="10" operator="equal">
      <formula>-1</formula>
    </cfRule>
    <cfRule type="cellIs" dxfId="9" priority="9" operator="equal">
      <formula>-1</formula>
    </cfRule>
    <cfRule type="cellIs" dxfId="7" priority="8" operator="equal">
      <formula>0</formula>
    </cfRule>
  </conditionalFormatting>
  <conditionalFormatting sqref="J1:J1048576">
    <cfRule type="cellIs" dxfId="5" priority="7" operator="equal">
      <formula>-1</formula>
    </cfRule>
    <cfRule type="cellIs" dxfId="4" priority="5" operator="equal">
      <formula>0</formula>
    </cfRule>
  </conditionalFormatting>
  <conditionalFormatting sqref="K1:K1048576">
    <cfRule type="cellIs" dxfId="6" priority="6" operator="equal">
      <formula>0</formula>
    </cfRule>
  </conditionalFormatting>
  <conditionalFormatting sqref="K1:L1048576">
    <cfRule type="cellIs" dxfId="3" priority="4" operator="equal">
      <formula>-1</formula>
    </cfRule>
  </conditionalFormatting>
  <conditionalFormatting sqref="L1:L1048576">
    <cfRule type="cellIs" dxfId="2" priority="3" operator="equal">
      <formula>0</formula>
    </cfRule>
  </conditionalFormatting>
  <conditionalFormatting sqref="G1:W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>
        <f>SUMIF(H:H,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topLeftCell="A16" zoomScaleNormal="100" workbookViewId="0">
      <selection activeCell="B29" sqref="B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163</v>
      </c>
    </row>
    <row r="2" spans="1:7" s="42" customFormat="1" ht="21" x14ac:dyDescent="0.4">
      <c r="B2" s="42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VLOOKUP("Warrendale", Dataset!A:Z, 6, FALSE)</f>
        <v>0.99998842592592596</v>
      </c>
      <c r="C6" s="12"/>
      <c r="D6" s="12"/>
      <c r="E6" s="12"/>
      <c r="F6" s="8"/>
    </row>
    <row r="7" spans="1:7" ht="14.4" x14ac:dyDescent="0.3">
      <c r="A7" s="7" t="s">
        <v>4</v>
      </c>
      <c r="B7" s="12">
        <f>VLOOKUP("Butler Valley", Dataset!A:Z, 7, FALSE)</f>
        <v>2.7</v>
      </c>
      <c r="C7" s="12"/>
      <c r="D7" s="12"/>
      <c r="E7" s="12"/>
      <c r="F7" s="8"/>
    </row>
    <row r="8" spans="1:7" ht="14.4" x14ac:dyDescent="0.3">
      <c r="A8" s="7" t="s">
        <v>7</v>
      </c>
      <c r="B8" s="12" t="b">
        <f>VLOOKUP("Allegheny Valley", Dataset!A:Z, 8, FALSE)
=VLOOKUP("Warrendale", Dataset!A:Z, 7, FALSE)
=VLOOKUP("Warrendale", Dataset!A:Z, 7, FALSE)
=VLOOKUP("Warrendale", Dataset!A:Z, 7, FALSE)</f>
        <v>0</v>
      </c>
      <c r="C8" s="12"/>
      <c r="D8" s="12"/>
      <c r="E8" s="12"/>
      <c r="F8" s="8"/>
    </row>
    <row r="9" spans="1:7" ht="14.4" x14ac:dyDescent="0.3">
      <c r="A9" s="7" t="s">
        <v>8</v>
      </c>
      <c r="B9" s="12">
        <f>VLOOKUP("Pittsburgh", Dataset!A:Z, 9, FALSE)</f>
        <v>8.1</v>
      </c>
      <c r="C9" s="12"/>
      <c r="D9" s="12"/>
      <c r="E9" s="12"/>
      <c r="F9" s="8"/>
    </row>
    <row r="10" spans="1:7" ht="14.4" x14ac:dyDescent="0.3">
      <c r="A10" s="7" t="s">
        <v>11</v>
      </c>
      <c r="B10" s="12">
        <f>VLOOKUP("Donegal", Dataset!A:Z, 10, FALSE)</f>
        <v>-1</v>
      </c>
      <c r="C10" s="12"/>
      <c r="D10" s="12"/>
      <c r="E10" s="12"/>
      <c r="F10" s="8"/>
    </row>
    <row r="11" spans="1:7" ht="14.4" x14ac:dyDescent="0.3">
      <c r="A11" s="7" t="s">
        <v>12</v>
      </c>
      <c r="B11" s="12">
        <f>VLOOKUP("Somerset", Dataset!A:Z, 11, FALSE)</f>
        <v>-1</v>
      </c>
      <c r="C11" s="12"/>
      <c r="D11" s="12"/>
      <c r="E11" s="12"/>
      <c r="F11" s="8"/>
    </row>
    <row r="12" spans="1:7" ht="14.4" x14ac:dyDescent="0.3">
      <c r="A12" s="7" t="s">
        <v>14</v>
      </c>
      <c r="B12" s="12" t="b">
        <f>VLOOKUP("Breezewood", Dataset!A:Z, 12, FALSE)
=VLOOKUP("Warrendale", Dataset!A:Z, 7, FALSE)</f>
        <v>0</v>
      </c>
      <c r="C12" s="12"/>
      <c r="D12" s="12"/>
      <c r="E12" s="12"/>
      <c r="F12" s="8"/>
    </row>
    <row r="13" spans="1:7" ht="14.4" x14ac:dyDescent="0.3">
      <c r="A13" s="7" t="s">
        <v>15</v>
      </c>
      <c r="B13" s="12">
        <f>VLOOKUP("Fort Littleton", Dataset!A:Z, 13, FALSE)</f>
        <v>0</v>
      </c>
      <c r="C13" s="12"/>
      <c r="D13" s="12"/>
      <c r="E13" s="12"/>
      <c r="F13" s="8"/>
    </row>
    <row r="14" spans="1:7" ht="14.4" x14ac:dyDescent="0.3">
      <c r="A14" s="7" t="s">
        <v>16</v>
      </c>
      <c r="B14" s="12">
        <f>VLOOKUP("Willow Hill", Dataset!A:Z, 14, FALSE)</f>
        <v>61.5</v>
      </c>
      <c r="C14" s="12"/>
      <c r="D14" s="12"/>
      <c r="E14" s="12"/>
      <c r="F14" s="8"/>
    </row>
    <row r="15" spans="1:7" ht="14.4" x14ac:dyDescent="0.3">
      <c r="A15" s="7" t="s">
        <v>18</v>
      </c>
      <c r="B15" s="12">
        <f>VLOOKUP("Carlisle", Dataset!A:Z, 15, FALSE)</f>
        <v>96.8</v>
      </c>
      <c r="C15" s="12"/>
      <c r="D15" s="12"/>
      <c r="E15" s="12"/>
      <c r="F15" s="8"/>
    </row>
    <row r="16" spans="1:7" ht="14.4" x14ac:dyDescent="0.3">
      <c r="A16" s="7" t="s">
        <v>20</v>
      </c>
      <c r="B16" s="12">
        <f>VLOOKUP("Harrisburg West", Dataset!A:Z, 16, FALSE)</f>
        <v>28.5</v>
      </c>
      <c r="C16" s="12"/>
      <c r="D16" s="12"/>
      <c r="E16" s="12"/>
      <c r="F16" s="8"/>
    </row>
    <row r="17" spans="1:6" ht="14.4" x14ac:dyDescent="0.3">
      <c r="A17" s="7" t="s">
        <v>22</v>
      </c>
      <c r="B17" s="12">
        <f>VLOOKUP("Lebanon-Lancaster", Dataset!A:Z, 17, FALSE)</f>
        <v>45.5</v>
      </c>
      <c r="C17" s="12"/>
      <c r="D17" s="12"/>
      <c r="E17" s="12"/>
      <c r="F17" s="8"/>
    </row>
    <row r="18" spans="1:6" ht="14.4" x14ac:dyDescent="0.3">
      <c r="A18" s="7" t="s">
        <v>23</v>
      </c>
      <c r="B18" s="12">
        <f>VLOOKUP("Reading", Dataset!A:Z, 18, FALSE)</f>
        <v>61.4</v>
      </c>
      <c r="C18" s="12"/>
      <c r="D18" s="12"/>
      <c r="E18" s="12"/>
      <c r="F18" s="8"/>
    </row>
    <row r="19" spans="1:6" ht="14.4" x14ac:dyDescent="0.3">
      <c r="A19" s="7" t="s">
        <v>24</v>
      </c>
      <c r="B19" s="12">
        <f>VLOOKUP("Morgantown", Dataset!A:Z, 19, FALSE)</f>
        <v>106.1</v>
      </c>
      <c r="C19" s="12"/>
      <c r="D19" s="12"/>
      <c r="E19" s="12"/>
      <c r="F19" s="8"/>
    </row>
    <row r="20" spans="1:6" ht="14.4" x14ac:dyDescent="0.3">
      <c r="A20" s="7" t="s">
        <v>28</v>
      </c>
      <c r="B20" s="12">
        <f>VLOOKUP("Fort Washington", Dataset!A:Z, 20, FALSE)</f>
        <v>0</v>
      </c>
      <c r="C20" s="12"/>
      <c r="D20" s="12"/>
      <c r="E20" s="12"/>
      <c r="F20" s="8"/>
    </row>
    <row r="21" spans="1:6" ht="14.4" x14ac:dyDescent="0.3">
      <c r="A21" s="7" t="s">
        <v>57</v>
      </c>
      <c r="B21" s="12" t="e">
        <f>VLOOKUP("Virginia Drive", Dataset!A:Z, 21, FALSE)</f>
        <v>#N/A</v>
      </c>
      <c r="C21" s="12"/>
      <c r="D21" s="12"/>
      <c r="E21" s="12"/>
      <c r="F21" s="8"/>
    </row>
    <row r="22" spans="1:6" ht="14.4" x14ac:dyDescent="0.3">
      <c r="A22" s="7" t="s">
        <v>58</v>
      </c>
      <c r="B22" s="12" t="e">
        <f>VLOOKUP("St. Rd", Dataset!A:Z, 22, FALSE)</f>
        <v>#N/A</v>
      </c>
      <c r="C22" s="12"/>
      <c r="D22" s="12"/>
      <c r="E22" s="12"/>
      <c r="F22" s="8"/>
    </row>
    <row r="23" spans="1:6" ht="14.4" x14ac:dyDescent="0.3">
      <c r="A23" s="7" t="s">
        <v>31</v>
      </c>
      <c r="B23" s="12">
        <f>VLOOKUP("Neshaminy Falls", Dataset!A:Z, 23, FALSE)</f>
        <v>79.400000000000006</v>
      </c>
      <c r="C23" s="12"/>
      <c r="D23" s="12"/>
      <c r="E23" s="12"/>
      <c r="F23" s="8"/>
    </row>
    <row r="24" spans="1:6" ht="14.4" x14ac:dyDescent="0.3">
      <c r="A24" s="7" t="s">
        <v>32</v>
      </c>
      <c r="B24" s="12" t="e">
        <f>VLOOKUP("Mid-Country", Dataset!A:Z, 24, FALSE)</f>
        <v>#N/A</v>
      </c>
      <c r="C24" s="12"/>
      <c r="D24" s="12"/>
      <c r="E24" s="12"/>
      <c r="F24" s="8"/>
    </row>
    <row r="25" spans="1:6" ht="14.4" x14ac:dyDescent="0.3">
      <c r="A25" s="7" t="s">
        <v>34</v>
      </c>
      <c r="B25" s="12">
        <f>VLOOKUP("Quakertown", Dataset!A:Z, 25, FALSE)</f>
        <v>0</v>
      </c>
      <c r="C25" s="12"/>
      <c r="D25" s="12"/>
      <c r="E25" s="12"/>
      <c r="F25" s="8"/>
    </row>
    <row r="26" spans="1:6" ht="14.4" x14ac:dyDescent="0.3">
      <c r="A26" s="7" t="s">
        <v>37</v>
      </c>
      <c r="B26" s="12">
        <f>VLOOKUP("Pocono", Dataset!A:Z, 26, FALSE)</f>
        <v>0</v>
      </c>
      <c r="C26" s="12"/>
      <c r="D26" s="12"/>
      <c r="E26" s="12"/>
      <c r="F26" s="8"/>
    </row>
    <row r="27" spans="1:6" ht="14.4" x14ac:dyDescent="0.3">
      <c r="A27" s="7" t="s">
        <v>39</v>
      </c>
      <c r="B27" s="12" t="e">
        <f>VLOOKUP("Wyoming Valley", Dataset!A:Z, 27, FALSE)</f>
        <v>#REF!</v>
      </c>
      <c r="C27" s="12"/>
      <c r="D27" s="12"/>
      <c r="E27" s="12"/>
      <c r="F27" s="8"/>
    </row>
    <row r="28" spans="1:6" ht="14.4" x14ac:dyDescent="0.3">
      <c r="A28" s="19" t="s">
        <v>82</v>
      </c>
      <c r="B28" s="32" t="e">
        <f>MIN(B6:B28)</f>
        <v>#N/A</v>
      </c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1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152</v>
      </c>
      <c r="B6" s="41"/>
    </row>
    <row r="7" spans="1:10" ht="18" x14ac:dyDescent="0.35">
      <c r="A7" s="44"/>
      <c r="B7" s="41"/>
    </row>
    <row r="9" spans="1:10" ht="23.4" x14ac:dyDescent="0.45">
      <c r="A9" s="18" t="s">
        <v>164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166</v>
      </c>
    </row>
    <row r="2" spans="1:3" ht="18" x14ac:dyDescent="0.35">
      <c r="B2" s="41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161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153</v>
      </c>
      <c r="C17" s="17">
        <v>150</v>
      </c>
    </row>
    <row r="18" spans="1:3" ht="14.4" x14ac:dyDescent="0.3">
      <c r="A18" s="33">
        <v>44933</v>
      </c>
      <c r="B18" s="17" t="s">
        <v>154</v>
      </c>
      <c r="C18" s="17">
        <v>80</v>
      </c>
    </row>
    <row r="19" spans="1:3" ht="14.4" x14ac:dyDescent="0.3">
      <c r="A19" s="33">
        <v>44934</v>
      </c>
      <c r="B19" s="17" t="s">
        <v>155</v>
      </c>
      <c r="C19" s="17" t="e">
        <v>#N/A</v>
      </c>
    </row>
    <row r="20" spans="1:3" ht="14.4" x14ac:dyDescent="0.3">
      <c r="A20" s="33">
        <v>44935</v>
      </c>
      <c r="B20" s="17" t="s">
        <v>156</v>
      </c>
      <c r="C20" s="17">
        <v>30</v>
      </c>
    </row>
    <row r="21" spans="1:3" ht="14.4" x14ac:dyDescent="0.3">
      <c r="A21" s="33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3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174</v>
      </c>
    </row>
    <row r="3" spans="1:14" ht="14.4" x14ac:dyDescent="0.3">
      <c r="B3" s="1" t="s">
        <v>150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 t="e">
        <f>INDEX([1]Table_A!$A$1:$I$9, MATCH(INDEX([2]Table_B!$B$1:$B$9, MATCH(A2, [2]Table_B!$A$1:$A$9, 0)), [1]Table_A!$A$1:$A$9, 0), MATCH(INDEX([2]Table_B!$B$1:$B$9, MATCH(B2, [2]Table_B!$A$1:$A$9, 0)), [1]Table_A!$A$1:$I$1, 0))</f>
        <v>#N/A</v>
      </c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Home</cp:lastModifiedBy>
  <dcterms:created xsi:type="dcterms:W3CDTF">2015-02-10T17:33:11Z</dcterms:created>
  <dcterms:modified xsi:type="dcterms:W3CDTF">2024-10-24T20:10:39Z</dcterms:modified>
</cp:coreProperties>
</file>